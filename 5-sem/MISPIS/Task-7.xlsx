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76" windowHeight="97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<sst xmlns="http://schemas.openxmlformats.org/spreadsheetml/2006/main" count="215" uniqueCount="159">
  <si>
    <t>Предложения и соглашения</t>
  </si>
  <si>
    <t>Меркутова Кристина 3 группа</t>
  </si>
  <si>
    <t>Average fully burdened cost per employee per year</t>
  </si>
  <si>
    <t>Средние затраты с полной нагрузкой на одного сотрудника в год</t>
  </si>
  <si>
    <t>Work days per year</t>
  </si>
  <si>
    <t>Количество рабочих дней в году</t>
  </si>
  <si>
    <t>Employee cost per day</t>
  </si>
  <si>
    <t>Стоимость работы сотрудника в день</t>
  </si>
  <si>
    <t>per hour</t>
  </si>
  <si>
    <t>в час</t>
  </si>
  <si>
    <t>per minute</t>
  </si>
  <si>
    <t>в минуту</t>
  </si>
  <si>
    <t>Requirements entered to date</t>
  </si>
  <si>
    <t>Требования, введенные на сегодняшний день</t>
  </si>
  <si>
    <t>Requirements implemented thus far</t>
  </si>
  <si>
    <t>Требования, реализованные на данный момент</t>
  </si>
  <si>
    <t>Requirements rejected</t>
  </si>
  <si>
    <t>Требования отклонены</t>
  </si>
  <si>
    <t>Requirements remaining open for future projects</t>
  </si>
  <si>
    <t>Требования, остающиеся открытыми для будущих проектов</t>
  </si>
  <si>
    <t>Стоимость</t>
  </si>
  <si>
    <t>Benefit to Cost Ratio</t>
  </si>
  <si>
    <t>Соотношение выгод и затрат</t>
  </si>
  <si>
    <t>Software</t>
  </si>
  <si>
    <t>Программное обеспечение</t>
  </si>
  <si>
    <t>Estimated savings</t>
  </si>
  <si>
    <t>Предполагаемая экономия</t>
  </si>
  <si>
    <t>Server &amp; client licenses, plus maintenance to date</t>
  </si>
  <si>
    <t>Серверные и клиентские лицензии, а также текущее техническое обслуживание</t>
  </si>
  <si>
    <t>Estimated cost</t>
  </si>
  <si>
    <t>Предполагаемая стоимость</t>
  </si>
  <si>
    <t>Training</t>
  </si>
  <si>
    <t>Обучение</t>
  </si>
  <si>
    <t>Number of training classes</t>
  </si>
  <si>
    <t>Количество учебных занятий</t>
  </si>
  <si>
    <t>Cost per class including instructor airfare, hotel, meals, car etc…</t>
  </si>
  <si>
    <t>Стоимость одного занятия, включая перелет с инструктором, гостиницу, питание, автомобиль и т.д…</t>
  </si>
  <si>
    <t># of students per class</t>
  </si>
  <si>
    <t xml:space="preserve"> количество учащихся в классе</t>
  </si>
  <si>
    <t>Duration of class in days</t>
  </si>
  <si>
    <t>Продолжительность занятия в днях</t>
  </si>
  <si>
    <t>Fully burdened cost per day per employee</t>
  </si>
  <si>
    <t>Полностью оплаченные расходы в день на одного сотрудника</t>
  </si>
  <si>
    <t>Total per Class</t>
  </si>
  <si>
    <t>Итого по классу</t>
  </si>
  <si>
    <t>Total for all classes</t>
  </si>
  <si>
    <t>Итого по всем классам</t>
  </si>
  <si>
    <t>Consulting</t>
  </si>
  <si>
    <t>Консультирование</t>
  </si>
  <si>
    <t>On-site support beyond training classes</t>
  </si>
  <si>
    <t>Поддержка на месте, выходящая за рамки учебных занятий</t>
  </si>
  <si>
    <t>Rollout Team Time</t>
  </si>
  <si>
    <t>Время работы команды по внедрению</t>
  </si>
  <si>
    <t>Elapsed years of rollout to date</t>
  </si>
  <si>
    <t>Прошедшие годы с момента внедрения на сегодняшний день</t>
  </si>
  <si>
    <t># of staff working at 25% time on the rollout</t>
  </si>
  <si>
    <t xml:space="preserve"> количество сотрудников, работающих на 25% больше времени при внедрении</t>
  </si>
  <si>
    <t># of staff working at 10% time on the rollout</t>
  </si>
  <si>
    <t xml:space="preserve"> количество сотрудников, работающих на 10% больше времени при внедрении</t>
  </si>
  <si>
    <t>Staff years of effort</t>
  </si>
  <si>
    <t>Многолетние усилия персонала</t>
  </si>
  <si>
    <t>Total cost for rollout team</t>
  </si>
  <si>
    <t>Общая стоимость для команды по внедрению</t>
  </si>
  <si>
    <t>Tool Use Overhead</t>
  </si>
  <si>
    <t>Накладные расходы на использование инструмента</t>
  </si>
  <si>
    <t>Overhead (staff minutes) per requirement to use the tool beyond what would be done in say excel, word, etc.</t>
  </si>
  <si>
    <t>Накладные расходы (в минутах работы персонала) на каждое требование к использованию инструмента, выходящее за рамки того, что можно было бы сделать, скажем, в excel, word и т.д.</t>
  </si>
  <si>
    <t>Staff minutes</t>
  </si>
  <si>
    <t>Протоколы заседаний персонала</t>
  </si>
  <si>
    <t>Total</t>
  </si>
  <si>
    <t>Весь</t>
  </si>
  <si>
    <t>Added Review &amp; Rigor</t>
  </si>
  <si>
    <t>Добавлен обзор и строгость</t>
  </si>
  <si>
    <t>Requirements implemented</t>
  </si>
  <si>
    <t>Выполненные требования</t>
  </si>
  <si>
    <t>Requirements per hour per person</t>
  </si>
  <si>
    <t>Требования в час на человека</t>
  </si>
  <si>
    <t>Number of persons on a team that use a requirement for direction in their work to plan, develop, test, develop user documentation &amp; training materials, etc..</t>
  </si>
  <si>
    <t>Количество человек в команде, которые используют требование о направлении в своей работе для планирования, разработки, тестирования, создания пользовательской документации и учебных материалов и т.д..</t>
  </si>
  <si>
    <t>Staff hours</t>
  </si>
  <si>
    <t>Часы работы персонала</t>
  </si>
  <si>
    <t>Reuirements entered, but not implemented</t>
  </si>
  <si>
    <t>Внесенные, но не выполненные изменения</t>
  </si>
  <si>
    <t>Requirements per hour per person (requirements not currently being implemented receive 1/10th the scrutiny)</t>
  </si>
  <si>
    <t>Требования в час на человека (требования, которые в настоящее время не выполняются, проходят 1/10-ю проверку)</t>
  </si>
  <si>
    <t>Total for added review and rigor</t>
  </si>
  <si>
    <t>Итого для дополнительной проверки и тщательности</t>
  </si>
  <si>
    <t>Снижение стоимости за счет повышения эффективности работы членов команды</t>
  </si>
  <si>
    <t xml:space="preserve">Requirements implemented
</t>
  </si>
  <si>
    <t xml:space="preserve">Number of person on a team that use a requirement for direction in their work
</t>
  </si>
  <si>
    <t xml:space="preserve">Количество человек в команде, которые используют требование в качестве руководства в своей работе
</t>
  </si>
  <si>
    <t xml:space="preserve">Time saved in minutes, per person, per requirement because they have a
documented requirement, readily available in a company-wide respository
upon which they can base their work.
</t>
  </si>
  <si>
    <t>"Экономия времени в минутах на каждого сотрудника, на каждое требование, потому что у них есть
документально оформленные требования, которые легко доступны в общекорпоративном справочнике
, на основе которого они могут основывать свою работу
".</t>
  </si>
  <si>
    <t>Total minutes of saving for all staff</t>
  </si>
  <si>
    <t>Общее количество сэкономленных минут для всего персонала</t>
  </si>
  <si>
    <t>Total $ savings</t>
  </si>
  <si>
    <t>Общая экономия в долларах США</t>
  </si>
  <si>
    <t>Исключение стоимости потерянных требований</t>
  </si>
  <si>
    <t xml:space="preserve">Requirement
 </t>
  </si>
  <si>
    <t xml:space="preserve">Требование
</t>
  </si>
  <si>
    <t xml:space="preserve">Already implemented so loss ts not a problem
 </t>
  </si>
  <si>
    <t>Уже реализовано, так что потеря не является проблемой</t>
  </si>
  <si>
    <t xml:space="preserve">Pending implementation and subject to being lost
 </t>
  </si>
  <si>
    <t xml:space="preserve">В стадии реализации и может быть утеряно
</t>
  </si>
  <si>
    <t xml:space="preserve">Percent staff chum .. assume X% chum of staff causes X% chum of
ieneiie
 </t>
  </si>
  <si>
    <t xml:space="preserve">Процент коллег по персоналу .. предположим, что Х% друзей по персоналу вызывает Х% друзей по
работе
</t>
  </si>
  <si>
    <t xml:space="preserve">Estimated requirements that fall through the cracks and are lost due to staff
Shae mene Catala asia
 </t>
  </si>
  <si>
    <t xml:space="preserve">Предполагаемые потребности, которые не удовлетворяются из-за нехватки персонала
Шайе мене Катала Азия
</t>
  </si>
  <si>
    <t>Staff days to re-engineer each lost requirement .. this could be a huge effort for some reqmnts</t>
  </si>
  <si>
    <t>У сотрудников уходит несколько дней на повторную разработку каждого утраченного требования .. для некоторых клиентов это может потребовать огромных усилий</t>
  </si>
  <si>
    <t xml:space="preserve">Total staff days of work re-engineering lost requirements
 </t>
  </si>
  <si>
    <t xml:space="preserve">Общее количество рабочих дней персонала, затраченных на реинжиниринг утраченных требований
</t>
  </si>
  <si>
    <t xml:space="preserve">Total $ savings
 </t>
  </si>
  <si>
    <t xml:space="preserve">Общая экономия в долларах
США </t>
  </si>
  <si>
    <t>Исключение стоимости ненужных разработок</t>
  </si>
  <si>
    <t xml:space="preserve">Requirements that were rejected
 </t>
  </si>
  <si>
    <t xml:space="preserve">Требования, которые были отклонены
</t>
  </si>
  <si>
    <t>Percent of these, which had they not recorded and subsequently rejected, may have gone forward</t>
  </si>
  <si>
    <t>Процент из них, которые, если бы они не были зарегистрированы и впоследствии отклонены, возможно, были бы приняты к рассмотрению</t>
  </si>
  <si>
    <t>Requirements that may gotten implemented</t>
  </si>
  <si>
    <t>Требования, которые могут быть реализованы</t>
  </si>
  <si>
    <t>Total staff days spent implementing the requirement: coding, testing, documentation, etc..</t>
  </si>
  <si>
    <t>Общее количество рабочих дней, затраченных персоналом на выполнение требований: кодирование, тестирование, документирование и т.д..</t>
  </si>
  <si>
    <t>Total staff days for all unstopped features</t>
  </si>
  <si>
    <t>Общее количество рабочих дней для всех незастопленных функций</t>
  </si>
  <si>
    <t>Снижение стоимости исправления дефектов в требованиях</t>
  </si>
  <si>
    <t>% of requirements that initially have at at least 1 defect</t>
  </si>
  <si>
    <t>% требований, которые изначально имеют по крайней мере 1 дефект</t>
  </si>
  <si>
    <t>initial number of requirements defects</t>
  </si>
  <si>
    <t>первоначальное количество дефектов в требованиях</t>
  </si>
  <si>
    <t>Removal effectiveness for this stage based on ballpark industry average</t>
  </si>
  <si>
    <t>Эффективность удаления на данном этапе основана на среднеотраслевых показателях</t>
  </si>
  <si>
    <t>Requirements related defects removed</t>
  </si>
  <si>
    <t>Устранены дефекты, связанные с требованиями</t>
  </si>
  <si>
    <t>Staff days expended to find &amp; fix one defect at this stage</t>
  </si>
  <si>
    <t>На данном этапе сотрудники потратили несколько дней на поиск и устранение одного дефекта</t>
  </si>
  <si>
    <t>Cost of defect removal before defects are committed to code</t>
  </si>
  <si>
    <t>Стоимость устранения дефектов до того, как они будут зафиксированы в коде</t>
  </si>
  <si>
    <t>Defects remaining that slip through to code</t>
  </si>
  <si>
    <t>Остающиеся дефекты, которые проскальзывают в коде</t>
  </si>
  <si>
    <t>Cost of defect removal from code, prior to commercial release</t>
  </si>
  <si>
    <t>Стоимость устранения дефектов в коде до коммерческого выпуска</t>
  </si>
  <si>
    <t>Total # of requirements defects initially</t>
  </si>
  <si>
    <t>Общее количество первоначальных дефектов в требованиях</t>
  </si>
  <si>
    <t>Total # defects removed by previous two phases before release</t>
  </si>
  <si>
    <t>Итого # дефекты, устраненные на предыдущих двух этапах перед выпуском</t>
  </si>
  <si>
    <t>Combined defect removal effectiveness of previous stages</t>
  </si>
  <si>
    <t>Эффективность комбинированного устранения дефектов на предыдущих этапах</t>
  </si>
  <si>
    <t>Defects remaining that slip through to the customer</t>
  </si>
  <si>
    <t>Остающиеся дефекты, которые ускользают от внимания заказчика</t>
  </si>
  <si>
    <t>Staff days expended to support &amp; fix one defect at this stage</t>
  </si>
  <si>
    <t>Рабочие дни, затраченные персоналом на поддержку и устранение одного дефекта на данном этапе</t>
  </si>
  <si>
    <t>Cost to support &amp; fix remaining defects in the field</t>
  </si>
  <si>
    <t>Затраты на поддержку и устранение оставшихся дефектов в полевых условиях</t>
  </si>
  <si>
    <t>New cost</t>
  </si>
  <si>
    <t>Начальная стоимость</t>
  </si>
  <si>
    <t>Новая стоимость</t>
  </si>
  <si>
    <t>Economy</t>
  </si>
  <si>
    <t>Экономика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</si>
</sst>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_-* #\ ##0.00\ &quot;₽&quot;_-;\-* #\ ##0.00\ &quot;₽&quot;_-;_-* &quot;-&quot;??\ &quot;₽&quot;_-;_-@_-"/>
    <numFmt numFmtId="181" formatCode="_-* #\ ##0.00_-;\-* #\ ##0.00_-;_-* &quot;-&quot;??_-;_-@_-"/>
    <numFmt numFmtId="182" formatCode="_-[$$-409]* #\ ##0_ ;_-[$$-409]* \-#\ ##0\ ;_-[$$-409]* &quot;-&quot;_ ;_-@_ "/>
    <numFmt numFmtId="183" formatCode="_-[$$-409]* #\ ##0.0_ ;_-[$$-409]* \-#\ ##0.0\ ;_-[$$-409]* &quot;-&quot;?_ ;_-@_ "/>
    <numFmt numFmtId="184" formatCode="0.0"/>
  </numFmts>
  <fonts count="27">
    <font>
      <sz val="12"/>
      <color theme="1"/>
      <name val="Aptos Narrow"/>
      <charset val="20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204"/>
    </font>
    <font>
      <sz val="12"/>
      <color rgb="FFFF0000"/>
      <name val="Times New Roman"/>
      <charset val="134"/>
    </font>
    <font>
      <b/>
      <sz val="12"/>
      <color theme="1"/>
      <name val="Times New Roman"/>
      <charset val="20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theme="1"/>
      <name val="Aptos Narrow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180" fontId="26" fillId="0" borderId="0" applyFont="0" applyFill="0" applyBorder="0" applyAlignment="0" applyProtection="0"/>
    <xf numFmtId="0" fontId="26" fillId="0" borderId="0"/>
    <xf numFmtId="181" fontId="26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82" fontId="1" fillId="0" borderId="3" xfId="51" applyNumberFormat="1" applyFont="1" applyBorder="1"/>
    <xf numFmtId="0" fontId="1" fillId="0" borderId="3" xfId="50" applyFont="1" applyBorder="1"/>
    <xf numFmtId="0" fontId="1" fillId="0" borderId="3" xfId="0" applyFont="1" applyBorder="1"/>
    <xf numFmtId="182" fontId="4" fillId="0" borderId="3" xfId="50" applyNumberFormat="1" applyFont="1" applyBorder="1"/>
    <xf numFmtId="183" fontId="4" fillId="0" borderId="3" xfId="50" applyNumberFormat="1" applyFont="1" applyBorder="1"/>
    <xf numFmtId="20" fontId="1" fillId="0" borderId="3" xfId="50" applyNumberFormat="1" applyFont="1" applyBorder="1"/>
    <xf numFmtId="0" fontId="1" fillId="0" borderId="4" xfId="50" applyFont="1" applyBorder="1"/>
    <xf numFmtId="0" fontId="4" fillId="0" borderId="3" xfId="5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82" fontId="1" fillId="0" borderId="2" xfId="0" applyNumberFormat="1" applyFont="1" applyBorder="1"/>
    <xf numFmtId="182" fontId="1" fillId="0" borderId="5" xfId="0" applyNumberFormat="1" applyFont="1" applyBorder="1"/>
    <xf numFmtId="0" fontId="1" fillId="0" borderId="5" xfId="0" applyFont="1" applyBorder="1"/>
    <xf numFmtId="184" fontId="1" fillId="0" borderId="2" xfId="0" applyNumberFormat="1" applyFont="1" applyBorder="1"/>
    <xf numFmtId="182" fontId="1" fillId="0" borderId="3" xfId="0" applyNumberFormat="1" applyFont="1" applyBorder="1"/>
    <xf numFmtId="182" fontId="4" fillId="0" borderId="3" xfId="0" applyNumberFormat="1" applyFont="1" applyBorder="1"/>
    <xf numFmtId="182" fontId="2" fillId="0" borderId="3" xfId="0" applyNumberFormat="1" applyFont="1" applyBorder="1"/>
    <xf numFmtId="0" fontId="1" fillId="0" borderId="3" xfId="50" applyFont="1" applyBorder="1" applyAlignment="1">
      <alignment horizontal="right"/>
    </xf>
    <xf numFmtId="2" fontId="4" fillId="0" borderId="3" xfId="50" applyNumberFormat="1" applyFont="1" applyBorder="1" applyAlignment="1">
      <alignment horizontal="right"/>
    </xf>
    <xf numFmtId="182" fontId="2" fillId="0" borderId="3" xfId="49" applyNumberFormat="1" applyFont="1" applyFill="1" applyBorder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1" fillId="2" borderId="3" xfId="50" applyFont="1" applyFill="1" applyBorder="1"/>
    <xf numFmtId="0" fontId="1" fillId="0" borderId="3" xfId="50" applyFont="1" applyBorder="1" applyAlignment="1">
      <alignment wrapText="1"/>
    </xf>
    <xf numFmtId="0" fontId="1" fillId="0" borderId="3" xfId="0" applyFont="1" applyBorder="1" applyAlignment="1">
      <alignment horizontal="left" vertical="top" wrapText="1"/>
    </xf>
    <xf numFmtId="0" fontId="3" fillId="0" borderId="3" xfId="50" applyFont="1" applyBorder="1" applyAlignment="1">
      <alignment horizontal="center" vertical="center"/>
    </xf>
    <xf numFmtId="0" fontId="1" fillId="0" borderId="3" xfId="0" applyFont="1" applyBorder="1" applyAlignment="1">
      <alignment wrapText="1"/>
    </xf>
    <xf numFmtId="1" fontId="4" fillId="3" borderId="3" xfId="50" applyNumberFormat="1" applyFont="1" applyFill="1" applyBorder="1"/>
    <xf numFmtId="182" fontId="2" fillId="3" borderId="3" xfId="49" applyNumberFormat="1" applyFont="1" applyFill="1" applyBorder="1"/>
    <xf numFmtId="0" fontId="1" fillId="3" borderId="3" xfId="0" applyFont="1" applyFill="1" applyBorder="1"/>
    <xf numFmtId="0" fontId="1" fillId="3" borderId="3" xfId="50" applyFont="1" applyFill="1" applyBorder="1"/>
    <xf numFmtId="1" fontId="4" fillId="0" borderId="3" xfId="50" applyNumberFormat="1" applyFont="1" applyBorder="1"/>
    <xf numFmtId="0" fontId="1" fillId="3" borderId="3" xfId="50" applyFont="1" applyFill="1" applyBorder="1" applyAlignment="1">
      <alignment vertical="center"/>
    </xf>
    <xf numFmtId="0" fontId="1" fillId="2" borderId="3" xfId="50" applyFont="1" applyFill="1" applyBorder="1" applyAlignment="1">
      <alignment vertical="center"/>
    </xf>
    <xf numFmtId="0" fontId="4" fillId="3" borderId="3" xfId="50" applyFont="1" applyFill="1" applyBorder="1" applyAlignment="1">
      <alignment vertical="center"/>
    </xf>
    <xf numFmtId="182" fontId="2" fillId="3" borderId="3" xfId="50" applyNumberFormat="1" applyFont="1" applyFill="1" applyBorder="1" applyAlignment="1">
      <alignment vertical="center"/>
    </xf>
    <xf numFmtId="9" fontId="1" fillId="2" borderId="3" xfId="50" applyNumberFormat="1" applyFont="1" applyFill="1" applyBorder="1" applyAlignment="1">
      <alignment vertical="center"/>
    </xf>
    <xf numFmtId="0" fontId="1" fillId="0" borderId="3" xfId="5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9" fontId="1" fillId="2" borderId="3" xfId="50" applyNumberFormat="1" applyFont="1" applyFill="1" applyBorder="1"/>
    <xf numFmtId="0" fontId="4" fillId="3" borderId="3" xfId="50" applyFont="1" applyFill="1" applyBorder="1"/>
    <xf numFmtId="182" fontId="1" fillId="3" borderId="3" xfId="49" applyNumberFormat="1" applyFont="1" applyFill="1" applyBorder="1"/>
    <xf numFmtId="182" fontId="1" fillId="0" borderId="3" xfId="49" applyNumberFormat="1" applyFont="1" applyFill="1" applyBorder="1"/>
    <xf numFmtId="9" fontId="4" fillId="0" borderId="3" xfId="50" applyNumberFormat="1" applyFont="1" applyBorder="1"/>
    <xf numFmtId="0" fontId="1" fillId="0" borderId="5" xfId="50" applyFont="1" applyBorder="1" applyAlignment="1">
      <alignment wrapText="1"/>
    </xf>
    <xf numFmtId="182" fontId="1" fillId="0" borderId="0" xfId="0" applyNumberFormat="1" applyFont="1"/>
  </cellXfs>
  <cellStyles count="52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Денежный 2" xfId="49"/>
    <cellStyle name="Обычный 2" xfId="50"/>
    <cellStyle name="Финансовый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9"/>
  <sheetViews>
    <sheetView tabSelected="1" zoomScale="55" zoomScaleNormal="55" topLeftCell="C1" workbookViewId="0">
      <selection activeCell="E10" sqref="E10"/>
    </sheetView>
  </sheetViews>
  <sheetFormatPr defaultColWidth="10.7651515151515" defaultRowHeight="15.6" outlineLevelCol="5"/>
  <cols>
    <col min="1" max="1" width="15.7651515151515" style="1" customWidth="1"/>
    <col min="2" max="2" width="75.7651515151515" style="1" customWidth="1"/>
    <col min="3" max="3" width="124.613636363636" style="1" customWidth="1"/>
    <col min="4" max="4" width="27" style="1" customWidth="1"/>
    <col min="5" max="5" width="43.3863636363636" style="1" customWidth="1"/>
    <col min="6" max="6" width="39.2272727272727" style="1" customWidth="1"/>
    <col min="7" max="16384" width="10.7651515151515" style="1"/>
  </cols>
  <sheetData>
    <row r="1" ht="36" customHeight="1" spans="1:5">
      <c r="A1" s="2" t="s">
        <v>0</v>
      </c>
      <c r="B1" s="3"/>
      <c r="E1" s="4" t="s">
        <v>1</v>
      </c>
    </row>
    <row r="2" spans="1:3">
      <c r="A2" s="5">
        <v>120000</v>
      </c>
      <c r="B2" s="6" t="s">
        <v>2</v>
      </c>
      <c r="C2" s="7" t="s">
        <v>3</v>
      </c>
    </row>
    <row r="3" spans="1:3">
      <c r="A3" s="6">
        <v>230</v>
      </c>
      <c r="B3" s="6" t="s">
        <v>4</v>
      </c>
      <c r="C3" s="7" t="s">
        <v>5</v>
      </c>
    </row>
    <row r="4" spans="1:3">
      <c r="A4" s="8">
        <f>A2/A3</f>
        <v>521.739130434783</v>
      </c>
      <c r="B4" s="6" t="s">
        <v>6</v>
      </c>
      <c r="C4" s="7" t="s">
        <v>7</v>
      </c>
    </row>
    <row r="5" spans="1:3">
      <c r="A5" s="8">
        <f>A4/8</f>
        <v>65.2173913043478</v>
      </c>
      <c r="B5" s="6" t="s">
        <v>8</v>
      </c>
      <c r="C5" s="7" t="s">
        <v>9</v>
      </c>
    </row>
    <row r="6" spans="1:3">
      <c r="A6" s="9">
        <f>A5/60</f>
        <v>1.08695652173913</v>
      </c>
      <c r="B6" s="6" t="s">
        <v>10</v>
      </c>
      <c r="C6" s="7" t="s">
        <v>11</v>
      </c>
    </row>
    <row r="7" spans="1:3">
      <c r="A7" s="10"/>
      <c r="B7" s="6"/>
      <c r="C7" s="7"/>
    </row>
    <row r="8" spans="1:3">
      <c r="A8" s="6">
        <v>5000</v>
      </c>
      <c r="B8" s="6" t="s">
        <v>12</v>
      </c>
      <c r="C8" s="7" t="s">
        <v>13</v>
      </c>
    </row>
    <row r="9" spans="1:3">
      <c r="A9" s="6">
        <v>1000</v>
      </c>
      <c r="B9" s="6" t="s">
        <v>14</v>
      </c>
      <c r="C9" s="7" t="s">
        <v>15</v>
      </c>
    </row>
    <row r="10" spans="1:3">
      <c r="A10" s="11">
        <v>200</v>
      </c>
      <c r="B10" s="11" t="s">
        <v>16</v>
      </c>
      <c r="C10" s="7" t="s">
        <v>17</v>
      </c>
    </row>
    <row r="11" spans="1:3">
      <c r="A11" s="12">
        <f>A8-A9-A10</f>
        <v>3800</v>
      </c>
      <c r="B11" s="6" t="s">
        <v>18</v>
      </c>
      <c r="C11" s="7" t="s">
        <v>19</v>
      </c>
    </row>
    <row r="14" ht="32.15" customHeight="1" spans="1:6">
      <c r="A14" s="2" t="s">
        <v>20</v>
      </c>
      <c r="B14" s="3"/>
      <c r="C14" s="7"/>
      <c r="D14" s="13" t="s">
        <v>21</v>
      </c>
      <c r="E14" s="14"/>
      <c r="F14" s="15" t="s">
        <v>22</v>
      </c>
    </row>
    <row r="15" ht="32.15" customHeight="1" spans="1:6">
      <c r="A15" s="16" t="s">
        <v>23</v>
      </c>
      <c r="B15" s="17"/>
      <c r="C15" s="15" t="s">
        <v>24</v>
      </c>
      <c r="D15" s="18">
        <f>A136+A84+A75+A64</f>
        <v>1884565.04347826</v>
      </c>
      <c r="E15" s="7" t="s">
        <v>25</v>
      </c>
      <c r="F15" s="7" t="s">
        <v>26</v>
      </c>
    </row>
    <row r="16" spans="1:6">
      <c r="A16" s="19">
        <v>45000</v>
      </c>
      <c r="B16" s="20" t="s">
        <v>27</v>
      </c>
      <c r="C16" s="7" t="s">
        <v>28</v>
      </c>
      <c r="D16" s="18">
        <f>A16+A25+A28+A35+A41+A56</f>
        <v>427656.52173913</v>
      </c>
      <c r="E16" s="7" t="s">
        <v>29</v>
      </c>
      <c r="F16" s="7" t="s">
        <v>30</v>
      </c>
    </row>
    <row r="17" spans="1:6">
      <c r="A17" s="7"/>
      <c r="B17" s="7"/>
      <c r="C17" s="7"/>
      <c r="D17" s="21">
        <f>D15/D16</f>
        <v>4.40672583645957</v>
      </c>
      <c r="E17" s="7" t="s">
        <v>21</v>
      </c>
      <c r="F17" s="7" t="s">
        <v>22</v>
      </c>
    </row>
    <row r="18" ht="33.75" customHeight="1" spans="1:3">
      <c r="A18" s="16" t="s">
        <v>31</v>
      </c>
      <c r="B18" s="17"/>
      <c r="C18" s="7" t="s">
        <v>32</v>
      </c>
    </row>
    <row r="19" spans="1:3">
      <c r="A19" s="7">
        <v>7</v>
      </c>
      <c r="B19" s="7" t="s">
        <v>33</v>
      </c>
      <c r="C19" s="7" t="s">
        <v>34</v>
      </c>
    </row>
    <row r="20" spans="1:3">
      <c r="A20" s="22">
        <v>8100</v>
      </c>
      <c r="B20" s="7" t="s">
        <v>35</v>
      </c>
      <c r="C20" s="7" t="s">
        <v>36</v>
      </c>
    </row>
    <row r="21" spans="1:3">
      <c r="A21" s="7">
        <v>15</v>
      </c>
      <c r="B21" s="7" t="s">
        <v>37</v>
      </c>
      <c r="C21" s="7" t="s">
        <v>38</v>
      </c>
    </row>
    <row r="22" spans="1:3">
      <c r="A22" s="7">
        <v>2</v>
      </c>
      <c r="B22" s="7" t="s">
        <v>39</v>
      </c>
      <c r="C22" s="7" t="s">
        <v>40</v>
      </c>
    </row>
    <row r="23" spans="1:3">
      <c r="A23" s="23">
        <f>A4</f>
        <v>521.739130434783</v>
      </c>
      <c r="B23" s="7" t="s">
        <v>41</v>
      </c>
      <c r="C23" s="7" t="s">
        <v>42</v>
      </c>
    </row>
    <row r="24" spans="1:3">
      <c r="A24" s="23">
        <f>A20+A21*A22*A23</f>
        <v>23752.1739130435</v>
      </c>
      <c r="B24" s="7" t="s">
        <v>43</v>
      </c>
      <c r="C24" s="7" t="s">
        <v>44</v>
      </c>
    </row>
    <row r="25" spans="1:3">
      <c r="A25" s="24">
        <f>A24*A19</f>
        <v>166265.217391304</v>
      </c>
      <c r="B25" s="7" t="s">
        <v>45</v>
      </c>
      <c r="C25" s="7" t="s">
        <v>46</v>
      </c>
    </row>
    <row r="26" spans="1:3">
      <c r="A26" s="7"/>
      <c r="B26" s="7"/>
      <c r="C26" s="7"/>
    </row>
    <row r="27" ht="27" customHeight="1" spans="1:3">
      <c r="A27" s="16" t="s">
        <v>47</v>
      </c>
      <c r="B27" s="17"/>
      <c r="C27" s="15" t="s">
        <v>48</v>
      </c>
    </row>
    <row r="28" ht="24" customHeight="1" spans="1:3">
      <c r="A28" s="24">
        <v>25000</v>
      </c>
      <c r="B28" s="7" t="s">
        <v>49</v>
      </c>
      <c r="C28" s="7" t="s">
        <v>50</v>
      </c>
    </row>
    <row r="29" spans="1:3">
      <c r="A29" s="7"/>
      <c r="B29" s="7"/>
      <c r="C29" s="7"/>
    </row>
    <row r="30" ht="32.25" customHeight="1" spans="1:3">
      <c r="A30" s="16" t="s">
        <v>51</v>
      </c>
      <c r="B30" s="17"/>
      <c r="C30" s="15" t="s">
        <v>52</v>
      </c>
    </row>
    <row r="31" spans="1:3">
      <c r="A31" s="25">
        <v>1.5</v>
      </c>
      <c r="B31" s="6" t="s">
        <v>53</v>
      </c>
      <c r="C31" s="7" t="s">
        <v>54</v>
      </c>
    </row>
    <row r="32" spans="1:3">
      <c r="A32" s="25">
        <v>1</v>
      </c>
      <c r="B32" s="6" t="s">
        <v>55</v>
      </c>
      <c r="C32" s="7" t="s">
        <v>56</v>
      </c>
    </row>
    <row r="33" spans="1:3">
      <c r="A33" s="25">
        <v>3</v>
      </c>
      <c r="B33" s="6" t="s">
        <v>57</v>
      </c>
      <c r="C33" s="7" t="s">
        <v>58</v>
      </c>
    </row>
    <row r="34" spans="1:3">
      <c r="A34" s="26">
        <f>A31*A33*0.1+A31*A32*0.25</f>
        <v>0.825</v>
      </c>
      <c r="B34" s="6" t="s">
        <v>59</v>
      </c>
      <c r="C34" s="7" t="s">
        <v>60</v>
      </c>
    </row>
    <row r="35" spans="1:3">
      <c r="A35" s="27">
        <f>A34*A2</f>
        <v>99000</v>
      </c>
      <c r="B35" s="6" t="s">
        <v>61</v>
      </c>
      <c r="C35" s="7" t="s">
        <v>62</v>
      </c>
    </row>
    <row r="36" spans="1:3">
      <c r="A36" s="7"/>
      <c r="B36" s="7"/>
      <c r="C36" s="7"/>
    </row>
    <row r="37" ht="28.5" customHeight="1" spans="1:3">
      <c r="A37" s="28" t="s">
        <v>63</v>
      </c>
      <c r="B37" s="29"/>
      <c r="C37" s="15" t="s">
        <v>64</v>
      </c>
    </row>
    <row r="38" ht="46" customHeight="1" spans="1:3">
      <c r="A38" s="30">
        <v>5</v>
      </c>
      <c r="B38" s="31" t="s">
        <v>65</v>
      </c>
      <c r="C38" s="32" t="s">
        <v>66</v>
      </c>
    </row>
    <row r="39" spans="1:3">
      <c r="A39" s="6">
        <v>5000</v>
      </c>
      <c r="B39" s="6" t="s">
        <v>12</v>
      </c>
      <c r="C39" s="7" t="s">
        <v>13</v>
      </c>
    </row>
    <row r="40" spans="1:3">
      <c r="A40" s="12">
        <f>A38*A39</f>
        <v>25000</v>
      </c>
      <c r="B40" s="6" t="s">
        <v>67</v>
      </c>
      <c r="C40" s="7" t="s">
        <v>68</v>
      </c>
    </row>
    <row r="41" spans="1:3">
      <c r="A41" s="27">
        <f>A2/A3/480*A40</f>
        <v>27173.9130434783</v>
      </c>
      <c r="B41" s="6" t="s">
        <v>69</v>
      </c>
      <c r="C41" s="7" t="s">
        <v>70</v>
      </c>
    </row>
    <row r="42" spans="3:3">
      <c r="C42" s="7"/>
    </row>
    <row r="43" ht="30" customHeight="1" spans="1:3">
      <c r="A43" s="33" t="s">
        <v>71</v>
      </c>
      <c r="B43" s="33"/>
      <c r="C43" s="15" t="s">
        <v>72</v>
      </c>
    </row>
    <row r="44" ht="35.15" customHeight="1" spans="1:3">
      <c r="A44" s="6">
        <v>1000</v>
      </c>
      <c r="B44" s="6" t="s">
        <v>73</v>
      </c>
      <c r="C44" s="7" t="s">
        <v>74</v>
      </c>
    </row>
    <row r="45" ht="29.15" customHeight="1" spans="1:3">
      <c r="A45" s="30">
        <v>7</v>
      </c>
      <c r="B45" s="6" t="s">
        <v>75</v>
      </c>
      <c r="C45" s="7" t="s">
        <v>76</v>
      </c>
    </row>
    <row r="46" ht="37" customHeight="1" spans="1:3">
      <c r="A46" s="30">
        <v>5</v>
      </c>
      <c r="B46" s="31" t="s">
        <v>77</v>
      </c>
      <c r="C46" s="34" t="s">
        <v>78</v>
      </c>
    </row>
    <row r="47" ht="30" customHeight="1" spans="1:3">
      <c r="A47" s="35">
        <f>A44/A45*A46</f>
        <v>714.285714285714</v>
      </c>
      <c r="B47" s="6" t="s">
        <v>79</v>
      </c>
      <c r="C47" s="7" t="s">
        <v>80</v>
      </c>
    </row>
    <row r="48" ht="23.15" customHeight="1" spans="1:3">
      <c r="A48" s="36">
        <f>A2/A3/8*A44/A45*A46</f>
        <v>46583.850931677</v>
      </c>
      <c r="B48" s="6"/>
      <c r="C48" s="7"/>
    </row>
    <row r="49" spans="1:3">
      <c r="A49" s="37"/>
      <c r="B49" s="7"/>
      <c r="C49" s="7"/>
    </row>
    <row r="50" ht="31" customHeight="1" spans="1:3">
      <c r="A50" s="38">
        <v>4000</v>
      </c>
      <c r="B50" s="6" t="s">
        <v>81</v>
      </c>
      <c r="C50" s="6" t="s">
        <v>82</v>
      </c>
    </row>
    <row r="51" ht="43" customHeight="1" spans="1:3">
      <c r="A51" s="30">
        <v>70</v>
      </c>
      <c r="B51" s="31" t="s">
        <v>83</v>
      </c>
      <c r="C51" s="7" t="s">
        <v>84</v>
      </c>
    </row>
    <row r="52" ht="31.2" spans="1:3">
      <c r="A52" s="30">
        <v>5</v>
      </c>
      <c r="B52" s="31" t="s">
        <v>77</v>
      </c>
      <c r="C52" s="34" t="s">
        <v>78</v>
      </c>
    </row>
    <row r="53" spans="1:3">
      <c r="A53" s="39">
        <f>A50/A51*A52</f>
        <v>285.714285714286</v>
      </c>
      <c r="B53" s="6" t="s">
        <v>79</v>
      </c>
      <c r="C53" s="7" t="s">
        <v>80</v>
      </c>
    </row>
    <row r="54" spans="1:3">
      <c r="A54" s="24">
        <f>A2/A3*A50/A51*A52/8</f>
        <v>18633.5403726708</v>
      </c>
      <c r="B54" s="7"/>
      <c r="C54" s="7"/>
    </row>
    <row r="55" spans="1:3">
      <c r="A55" s="7"/>
      <c r="B55" s="7"/>
      <c r="C55" s="7"/>
    </row>
    <row r="56" spans="1:3">
      <c r="A56" s="24">
        <f>A48+A54</f>
        <v>65217.3913043478</v>
      </c>
      <c r="B56" s="7" t="s">
        <v>85</v>
      </c>
      <c r="C56" s="7" t="s">
        <v>86</v>
      </c>
    </row>
    <row r="59" ht="33" customHeight="1" spans="1:3">
      <c r="A59" s="2" t="s">
        <v>87</v>
      </c>
      <c r="B59" s="3"/>
      <c r="C59" s="7"/>
    </row>
    <row r="60" ht="31.2" spans="1:3">
      <c r="A60" s="40">
        <v>1000</v>
      </c>
      <c r="B60" s="31" t="s">
        <v>88</v>
      </c>
      <c r="C60" s="7" t="s">
        <v>74</v>
      </c>
    </row>
    <row r="61" ht="31.2" spans="1:3">
      <c r="A61" s="41">
        <v>5</v>
      </c>
      <c r="B61" s="31" t="s">
        <v>89</v>
      </c>
      <c r="C61" s="34" t="s">
        <v>90</v>
      </c>
    </row>
    <row r="62" ht="62.4" spans="1:3">
      <c r="A62" s="41">
        <v>5</v>
      </c>
      <c r="B62" s="31" t="s">
        <v>91</v>
      </c>
      <c r="C62" s="34" t="s">
        <v>92</v>
      </c>
    </row>
    <row r="63" ht="25" customHeight="1" spans="1:3">
      <c r="A63" s="42">
        <f>A60*A61*A62</f>
        <v>25000</v>
      </c>
      <c r="B63" s="31" t="s">
        <v>93</v>
      </c>
      <c r="C63" s="7" t="s">
        <v>94</v>
      </c>
    </row>
    <row r="64" ht="26.15" customHeight="1" spans="1:3">
      <c r="A64" s="43">
        <f>A63*A6</f>
        <v>27173.9130434783</v>
      </c>
      <c r="B64" s="31" t="s">
        <v>95</v>
      </c>
      <c r="C64" s="7" t="s">
        <v>96</v>
      </c>
    </row>
    <row r="67" ht="37" customHeight="1" spans="1:3">
      <c r="A67" s="2" t="s">
        <v>97</v>
      </c>
      <c r="B67" s="3"/>
      <c r="C67" s="7"/>
    </row>
    <row r="68" ht="31.2" spans="1:3">
      <c r="A68" s="40">
        <v>5000</v>
      </c>
      <c r="B68" s="31" t="s">
        <v>98</v>
      </c>
      <c r="C68" s="34" t="s">
        <v>99</v>
      </c>
    </row>
    <row r="69" ht="31.2" spans="1:3">
      <c r="A69" s="40">
        <v>1000</v>
      </c>
      <c r="B69" s="31" t="s">
        <v>100</v>
      </c>
      <c r="C69" s="7" t="s">
        <v>101</v>
      </c>
    </row>
    <row r="70" ht="31.2" spans="1:3">
      <c r="A70" s="40">
        <v>4000</v>
      </c>
      <c r="B70" s="31" t="s">
        <v>102</v>
      </c>
      <c r="C70" s="34" t="s">
        <v>103</v>
      </c>
    </row>
    <row r="71" ht="46.8" spans="1:3">
      <c r="A71" s="44">
        <v>0.12</v>
      </c>
      <c r="B71" s="31" t="s">
        <v>104</v>
      </c>
      <c r="C71" s="34" t="s">
        <v>105</v>
      </c>
    </row>
    <row r="72" ht="46.8" spans="1:3">
      <c r="A72" s="42">
        <f>A70*A71</f>
        <v>480</v>
      </c>
      <c r="B72" s="31" t="s">
        <v>106</v>
      </c>
      <c r="C72" s="34" t="s">
        <v>107</v>
      </c>
    </row>
    <row r="73" ht="31.2" spans="1:3">
      <c r="A73" s="41">
        <v>3</v>
      </c>
      <c r="B73" s="31" t="s">
        <v>108</v>
      </c>
      <c r="C73" s="34" t="s">
        <v>109</v>
      </c>
    </row>
    <row r="74" ht="31.2" spans="1:3">
      <c r="A74" s="42">
        <f>A72*A73</f>
        <v>1440</v>
      </c>
      <c r="B74" s="31" t="s">
        <v>110</v>
      </c>
      <c r="C74" s="34" t="s">
        <v>111</v>
      </c>
    </row>
    <row r="75" ht="31.2" spans="1:3">
      <c r="A75" s="43">
        <f>A74*A4</f>
        <v>751304.347826087</v>
      </c>
      <c r="B75" s="31" t="s">
        <v>112</v>
      </c>
      <c r="C75" s="34" t="s">
        <v>113</v>
      </c>
    </row>
    <row r="78" ht="36" customHeight="1" spans="1:3">
      <c r="A78" s="2" t="s">
        <v>114</v>
      </c>
      <c r="B78" s="3"/>
      <c r="C78" s="7"/>
    </row>
    <row r="79" ht="31.2" spans="1:3">
      <c r="A79" s="40">
        <v>200</v>
      </c>
      <c r="B79" s="31" t="s">
        <v>115</v>
      </c>
      <c r="C79" s="34" t="s">
        <v>116</v>
      </c>
    </row>
    <row r="80" spans="1:3">
      <c r="A80" s="44">
        <v>0.25</v>
      </c>
      <c r="B80" s="31" t="s">
        <v>117</v>
      </c>
      <c r="C80" s="7" t="s">
        <v>118</v>
      </c>
    </row>
    <row r="81" ht="35.15" customHeight="1" spans="1:3">
      <c r="A81" s="12">
        <f>A79*A80</f>
        <v>50</v>
      </c>
      <c r="B81" s="31" t="s">
        <v>119</v>
      </c>
      <c r="C81" s="7" t="s">
        <v>120</v>
      </c>
    </row>
    <row r="82" spans="1:3">
      <c r="A82" s="45">
        <v>20</v>
      </c>
      <c r="B82" s="31" t="s">
        <v>121</v>
      </c>
      <c r="C82" s="7" t="s">
        <v>122</v>
      </c>
    </row>
    <row r="83" ht="28" customHeight="1" spans="1:3">
      <c r="A83" s="12">
        <f>A81*A82</f>
        <v>1000</v>
      </c>
      <c r="B83" s="31" t="s">
        <v>123</v>
      </c>
      <c r="C83" s="7" t="s">
        <v>124</v>
      </c>
    </row>
    <row r="84" ht="26.15" customHeight="1" spans="1:3">
      <c r="A84" s="27">
        <v>521739</v>
      </c>
      <c r="B84" s="31" t="s">
        <v>95</v>
      </c>
      <c r="C84" s="7" t="s">
        <v>96</v>
      </c>
    </row>
    <row r="87" ht="37" customHeight="1" spans="1:3">
      <c r="A87" s="46" t="s">
        <v>125</v>
      </c>
      <c r="B87" s="47"/>
      <c r="C87" s="7"/>
    </row>
    <row r="88" spans="1:3">
      <c r="A88" s="6">
        <v>1000</v>
      </c>
      <c r="B88" s="31" t="s">
        <v>73</v>
      </c>
      <c r="C88" s="7" t="s">
        <v>74</v>
      </c>
    </row>
    <row r="89" spans="1:3">
      <c r="A89" s="48">
        <v>1</v>
      </c>
      <c r="B89" s="31" t="s">
        <v>126</v>
      </c>
      <c r="C89" s="7" t="s">
        <v>127</v>
      </c>
    </row>
    <row r="90" spans="1:3">
      <c r="A90" s="49">
        <f>A88*A89</f>
        <v>1000</v>
      </c>
      <c r="B90" s="31" t="s">
        <v>128</v>
      </c>
      <c r="C90" s="7" t="s">
        <v>129</v>
      </c>
    </row>
    <row r="91" spans="1:3">
      <c r="A91" s="7"/>
      <c r="B91" s="7"/>
      <c r="C91" s="7"/>
    </row>
    <row r="92" spans="1:3">
      <c r="A92" s="48">
        <v>0.5</v>
      </c>
      <c r="B92" s="31" t="s">
        <v>130</v>
      </c>
      <c r="C92" s="7" t="s">
        <v>131</v>
      </c>
    </row>
    <row r="93" spans="1:3">
      <c r="A93" s="49">
        <f>A90*A92</f>
        <v>500</v>
      </c>
      <c r="B93" s="31" t="s">
        <v>132</v>
      </c>
      <c r="C93" s="7" t="s">
        <v>133</v>
      </c>
    </row>
    <row r="94" spans="1:3">
      <c r="A94" s="30">
        <v>1</v>
      </c>
      <c r="B94" s="31" t="s">
        <v>134</v>
      </c>
      <c r="C94" s="7" t="s">
        <v>135</v>
      </c>
    </row>
    <row r="95" spans="1:3">
      <c r="A95" s="50">
        <v>260870</v>
      </c>
      <c r="B95" s="31" t="s">
        <v>136</v>
      </c>
      <c r="C95" s="7" t="s">
        <v>137</v>
      </c>
    </row>
    <row r="96" spans="1:3">
      <c r="A96" s="37"/>
      <c r="B96" s="7"/>
      <c r="C96" s="7"/>
    </row>
    <row r="97" spans="1:3">
      <c r="A97" s="49">
        <f>A90-A93</f>
        <v>500</v>
      </c>
      <c r="B97" s="31" t="s">
        <v>138</v>
      </c>
      <c r="C97" s="7" t="s">
        <v>139</v>
      </c>
    </row>
    <row r="98" spans="1:3">
      <c r="A98" s="48">
        <v>0.8</v>
      </c>
      <c r="B98" s="31" t="s">
        <v>130</v>
      </c>
      <c r="C98" s="7" t="s">
        <v>131</v>
      </c>
    </row>
    <row r="99" spans="1:3">
      <c r="A99" s="49">
        <f>A98*A97</f>
        <v>400</v>
      </c>
      <c r="B99" s="31" t="s">
        <v>132</v>
      </c>
      <c r="C99" s="7" t="s">
        <v>133</v>
      </c>
    </row>
    <row r="100" spans="1:3">
      <c r="A100" s="30">
        <v>5</v>
      </c>
      <c r="B100" s="31" t="s">
        <v>134</v>
      </c>
      <c r="C100" s="7" t="s">
        <v>135</v>
      </c>
    </row>
    <row r="101" spans="1:3">
      <c r="A101" s="51">
        <f>A100*A99*A2/A3</f>
        <v>1043478.26086957</v>
      </c>
      <c r="B101" s="31" t="s">
        <v>140</v>
      </c>
      <c r="C101" s="7" t="s">
        <v>141</v>
      </c>
    </row>
    <row r="102" spans="1:3">
      <c r="A102" s="7"/>
      <c r="B102" s="7"/>
      <c r="C102" s="7"/>
    </row>
    <row r="103" spans="1:3">
      <c r="A103" s="6">
        <v>1000</v>
      </c>
      <c r="B103" s="31" t="s">
        <v>142</v>
      </c>
      <c r="C103" s="7" t="s">
        <v>143</v>
      </c>
    </row>
    <row r="104" spans="1:3">
      <c r="A104" s="12">
        <v>900</v>
      </c>
      <c r="B104" s="31" t="s">
        <v>144</v>
      </c>
      <c r="C104" s="7" t="s">
        <v>145</v>
      </c>
    </row>
    <row r="105" spans="1:3">
      <c r="A105" s="52">
        <f>A104/A103</f>
        <v>0.9</v>
      </c>
      <c r="B105" s="31" t="s">
        <v>146</v>
      </c>
      <c r="C105" s="7" t="s">
        <v>147</v>
      </c>
    </row>
    <row r="106" spans="1:3">
      <c r="A106" s="7"/>
      <c r="B106" s="7"/>
      <c r="C106" s="7"/>
    </row>
    <row r="107" spans="1:3">
      <c r="A107" s="12">
        <f>A103-A104</f>
        <v>100</v>
      </c>
      <c r="B107" s="31" t="s">
        <v>148</v>
      </c>
      <c r="C107" s="7" t="s">
        <v>149</v>
      </c>
    </row>
    <row r="108" spans="1:3">
      <c r="A108" s="30">
        <v>25</v>
      </c>
      <c r="B108" s="31" t="s">
        <v>150</v>
      </c>
      <c r="C108" s="7" t="s">
        <v>151</v>
      </c>
    </row>
    <row r="109" spans="1:3">
      <c r="A109" s="51">
        <f>A108*A107*A2/A3</f>
        <v>1304347.82608696</v>
      </c>
      <c r="B109" s="31" t="s">
        <v>152</v>
      </c>
      <c r="C109" s="7" t="s">
        <v>153</v>
      </c>
    </row>
    <row r="110" spans="1:3">
      <c r="A110" s="22">
        <f>A109+A101+A95</f>
        <v>2608696.08695652</v>
      </c>
      <c r="B110" s="7" t="s">
        <v>154</v>
      </c>
      <c r="C110" s="7" t="s">
        <v>155</v>
      </c>
    </row>
    <row r="111" spans="2:3">
      <c r="B111" s="7"/>
      <c r="C111" s="7"/>
    </row>
    <row r="112" spans="1:3">
      <c r="A112" s="6">
        <v>1000</v>
      </c>
      <c r="B112" s="53" t="s">
        <v>73</v>
      </c>
      <c r="C112" s="7" t="s">
        <v>74</v>
      </c>
    </row>
    <row r="113" spans="1:3">
      <c r="A113" s="48">
        <v>1</v>
      </c>
      <c r="B113" s="31" t="s">
        <v>126</v>
      </c>
      <c r="C113" s="7" t="s">
        <v>127</v>
      </c>
    </row>
    <row r="114" spans="1:3">
      <c r="A114" s="49">
        <f>A112*A113</f>
        <v>1000</v>
      </c>
      <c r="B114" s="31" t="s">
        <v>128</v>
      </c>
      <c r="C114" s="7" t="s">
        <v>129</v>
      </c>
    </row>
    <row r="115" spans="1:3">
      <c r="A115" s="7"/>
      <c r="B115" s="7"/>
      <c r="C115" s="7"/>
    </row>
    <row r="116" spans="1:3">
      <c r="A116" s="48">
        <v>0.55</v>
      </c>
      <c r="B116" s="31" t="s">
        <v>130</v>
      </c>
      <c r="C116" s="7" t="s">
        <v>131</v>
      </c>
    </row>
    <row r="117" spans="1:3">
      <c r="A117" s="49">
        <f>A114*A116</f>
        <v>550</v>
      </c>
      <c r="B117" s="31" t="s">
        <v>132</v>
      </c>
      <c r="C117" s="7" t="s">
        <v>133</v>
      </c>
    </row>
    <row r="118" spans="1:3">
      <c r="A118" s="30">
        <v>1</v>
      </c>
      <c r="B118" s="31" t="s">
        <v>134</v>
      </c>
      <c r="C118" s="7" t="s">
        <v>135</v>
      </c>
    </row>
    <row r="119" spans="1:3">
      <c r="A119" s="50">
        <v>286957</v>
      </c>
      <c r="B119" s="31" t="s">
        <v>136</v>
      </c>
      <c r="C119" s="7" t="s">
        <v>137</v>
      </c>
    </row>
    <row r="120" spans="1:3">
      <c r="A120" s="37"/>
      <c r="B120" s="7"/>
      <c r="C120" s="7"/>
    </row>
    <row r="121" spans="1:3">
      <c r="A121" s="49">
        <f>A114-A117</f>
        <v>450</v>
      </c>
      <c r="B121" s="31" t="s">
        <v>138</v>
      </c>
      <c r="C121" s="7" t="s">
        <v>139</v>
      </c>
    </row>
    <row r="122" spans="1:3">
      <c r="A122" s="48">
        <v>0.88</v>
      </c>
      <c r="B122" s="31" t="s">
        <v>130</v>
      </c>
      <c r="C122" s="7" t="s">
        <v>131</v>
      </c>
    </row>
    <row r="123" spans="1:3">
      <c r="A123" s="49">
        <f>A122*A121</f>
        <v>396</v>
      </c>
      <c r="B123" s="31" t="s">
        <v>132</v>
      </c>
      <c r="C123" s="7" t="s">
        <v>133</v>
      </c>
    </row>
    <row r="124" spans="1:3">
      <c r="A124" s="30">
        <v>5</v>
      </c>
      <c r="B124" s="31" t="s">
        <v>134</v>
      </c>
      <c r="C124" s="7" t="s">
        <v>135</v>
      </c>
    </row>
    <row r="125" spans="1:3">
      <c r="A125" s="51">
        <f>A124*A123*A2/A3</f>
        <v>1033043.47826087</v>
      </c>
      <c r="B125" s="31" t="s">
        <v>140</v>
      </c>
      <c r="C125" s="7" t="s">
        <v>141</v>
      </c>
    </row>
    <row r="126" spans="1:3">
      <c r="A126" s="7"/>
      <c r="B126" s="7"/>
      <c r="C126" s="7"/>
    </row>
    <row r="127" spans="1:3">
      <c r="A127" s="6">
        <v>1000</v>
      </c>
      <c r="B127" s="31" t="s">
        <v>142</v>
      </c>
      <c r="C127" s="7" t="s">
        <v>143</v>
      </c>
    </row>
    <row r="128" spans="1:3">
      <c r="A128" s="12">
        <v>946</v>
      </c>
      <c r="B128" s="31" t="s">
        <v>144</v>
      </c>
      <c r="C128" s="7" t="s">
        <v>145</v>
      </c>
    </row>
    <row r="129" spans="1:3">
      <c r="A129" s="52">
        <f>A128/A127</f>
        <v>0.946</v>
      </c>
      <c r="B129" s="31" t="s">
        <v>146</v>
      </c>
      <c r="C129" s="7" t="s">
        <v>147</v>
      </c>
    </row>
    <row r="130" spans="1:3">
      <c r="A130" s="7"/>
      <c r="B130" s="7"/>
      <c r="C130" s="7"/>
    </row>
    <row r="131" spans="1:3">
      <c r="A131" s="12">
        <f>A127-A128</f>
        <v>54</v>
      </c>
      <c r="B131" s="31" t="s">
        <v>148</v>
      </c>
      <c r="C131" s="7" t="s">
        <v>149</v>
      </c>
    </row>
    <row r="132" spans="1:3">
      <c r="A132" s="30">
        <v>25</v>
      </c>
      <c r="B132" s="31" t="s">
        <v>150</v>
      </c>
      <c r="C132" s="7" t="s">
        <v>151</v>
      </c>
    </row>
    <row r="133" spans="1:3">
      <c r="A133" s="51">
        <f>A132*A131*A2/A3</f>
        <v>704347.826086957</v>
      </c>
      <c r="B133" s="31" t="s">
        <v>152</v>
      </c>
      <c r="C133" s="7" t="s">
        <v>153</v>
      </c>
    </row>
    <row r="134" spans="1:3">
      <c r="A134" s="7"/>
      <c r="B134" s="7"/>
      <c r="C134" s="7"/>
    </row>
    <row r="135" spans="1:3">
      <c r="A135" s="51">
        <f>A133+A125+A119</f>
        <v>2024348.30434783</v>
      </c>
      <c r="B135" s="31" t="s">
        <v>154</v>
      </c>
      <c r="C135" s="7" t="s">
        <v>156</v>
      </c>
    </row>
    <row r="136" spans="1:3">
      <c r="A136" s="22">
        <f>A110-A135</f>
        <v>584347.782608695</v>
      </c>
      <c r="B136" s="7" t="s">
        <v>157</v>
      </c>
      <c r="C136" s="7" t="s">
        <v>158</v>
      </c>
    </row>
    <row r="137" spans="1:1">
      <c r="A137" s="54"/>
    </row>
    <row r="138" spans="1:1">
      <c r="A138" s="54"/>
    </row>
    <row r="139" ht="32.15" customHeight="1"/>
  </sheetData>
  <mergeCells count="13">
    <mergeCell ref="A1:B1"/>
    <mergeCell ref="A14:B14"/>
    <mergeCell ref="D14:E14"/>
    <mergeCell ref="A15:B15"/>
    <mergeCell ref="A18:B18"/>
    <mergeCell ref="A27:B27"/>
    <mergeCell ref="A30:B30"/>
    <mergeCell ref="A37:B37"/>
    <mergeCell ref="A43:B43"/>
    <mergeCell ref="A59:B59"/>
    <mergeCell ref="A67:B67"/>
    <mergeCell ref="A78:B78"/>
    <mergeCell ref="A87:B8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Owl Kris (SovenokKris)</cp:lastModifiedBy>
  <dcterms:created xsi:type="dcterms:W3CDTF">2024-11-15T15:39:00Z</dcterms:created>
  <dcterms:modified xsi:type="dcterms:W3CDTF">2025-12-26T20:35:31Z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C4016CC610954C5AB8748BF5B874E2D5_12</vt:lpwstr>
  </property>
  <property fmtid="{D5CDD505-2E9C-101B-9397-08002B2CF9AE}" pid="3" name="KSOProductBuildVer">
    <vt:lpwstr>1049-12.2.0.23196</vt:lpwstr>
  </property>
</Properties>
</file>